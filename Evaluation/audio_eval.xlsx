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SRH Study Data\SEM 04\Master's Thesis\codebase\Evaluation\"/>
    </mc:Choice>
  </mc:AlternateContent>
  <xr:revisionPtr revIDLastSave="0" documentId="13_ncr:1_{C4F23D96-24D4-4C46-9D7B-FC5B403921A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iamese_train_result_active" sheetId="1" r:id="rId1"/>
    <sheet name="hyperopt_result" sheetId="2" r:id="rId2"/>
    <sheet name="word- human eval" sheetId="3" r:id="rId3"/>
    <sheet name="allosaurus_ex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3" l="1"/>
  <c r="D14" i="3"/>
  <c r="E14" i="3"/>
  <c r="F14" i="3"/>
  <c r="G14" i="3"/>
  <c r="H14" i="3"/>
  <c r="C15" i="3"/>
  <c r="D15" i="3"/>
  <c r="E15" i="3"/>
  <c r="F15" i="3"/>
  <c r="G15" i="3"/>
  <c r="H15" i="3"/>
  <c r="B15" i="3"/>
  <c r="B14" i="3"/>
  <c r="J3" i="4"/>
  <c r="J4" i="4"/>
  <c r="J5" i="4"/>
  <c r="J6" i="4"/>
  <c r="J7" i="4"/>
  <c r="J2" i="4"/>
  <c r="H13" i="3"/>
  <c r="G13" i="3"/>
  <c r="F13" i="3"/>
  <c r="E13" i="3"/>
  <c r="D13" i="3"/>
  <c r="C13" i="3"/>
  <c r="B13" i="3"/>
</calcChain>
</file>

<file path=xl/sharedStrings.xml><?xml version="1.0" encoding="utf-8"?>
<sst xmlns="http://schemas.openxmlformats.org/spreadsheetml/2006/main" count="140" uniqueCount="85">
  <si>
    <t>Number of Evals</t>
  </si>
  <si>
    <t>Number of layers</t>
  </si>
  <si>
    <t>Number of filters</t>
  </si>
  <si>
    <t>Kernel size</t>
  </si>
  <si>
    <t>Batch size</t>
  </si>
  <si>
    <t>Optimizer</t>
  </si>
  <si>
    <t>Activation</t>
  </si>
  <si>
    <t>Notes</t>
  </si>
  <si>
    <t>Exp No</t>
  </si>
  <si>
    <t>sgd(lr=0.00015588365602147455, momentum=0.8494444660753903)</t>
  </si>
  <si>
    <t>Loss</t>
  </si>
  <si>
    <t>-</t>
  </si>
  <si>
    <t>sgd(lr=0.00010112553577170664, momentum=0.308640937804029)</t>
  </si>
  <si>
    <t>Here, activation was relu throughout</t>
  </si>
  <si>
    <t>sigmoid</t>
  </si>
  <si>
    <t>Here only 'relu', 'tanh', 'sigmoid' were considered.</t>
  </si>
  <si>
    <t>adam(lr=0.0006009855440680273)</t>
  </si>
  <si>
    <t>sgd(lr=0.0013437611743495283, momentum=0.7451034533593439)</t>
  </si>
  <si>
    <t>sgd(lr=0.0037475981627280003, momentum=0.5489228297776576)</t>
  </si>
  <si>
    <t>sgd(lr=0.009866154797895224, momentum=0.9880931997112878)</t>
  </si>
  <si>
    <t>sgd(lr=0.00393740962911746, momentum=0.4060994942707311)</t>
  </si>
  <si>
    <t>Here 'relu', 'tanh', 'leakyrelu', 'sigmoid' are considered for activation.</t>
  </si>
  <si>
    <t>rmsprop(lr= 0.0012284695078675144)</t>
  </si>
  <si>
    <t>rmsprop(lr= 0.007553471367254137)</t>
  </si>
  <si>
    <t>adam(lr=0.0003501682354207719)</t>
  </si>
  <si>
    <t>rmsprop(lr=0.0016125372207231503)</t>
  </si>
  <si>
    <t>Model</t>
  </si>
  <si>
    <t>Input Data Type</t>
  </si>
  <si>
    <t>CNN</t>
  </si>
  <si>
    <t>MFCC</t>
  </si>
  <si>
    <t>The model was overfitting. Without layer f1</t>
  </si>
  <si>
    <t>The model was overfitting. With f1 layer</t>
  </si>
  <si>
    <t>MFPS</t>
  </si>
  <si>
    <t>The model was overfitting</t>
  </si>
  <si>
    <t>Validation Accuracy</t>
  </si>
  <si>
    <t>Dropout layer added to model. No overfitting, however, the model performance was poor</t>
  </si>
  <si>
    <t>Active training</t>
  </si>
  <si>
    <t>Number of records trained</t>
  </si>
  <si>
    <t>With all data</t>
  </si>
  <si>
    <t>25k</t>
  </si>
  <si>
    <t>50k</t>
  </si>
  <si>
    <t>Siamese Model (with cosine similarity)</t>
  </si>
  <si>
    <t>1.5k</t>
  </si>
  <si>
    <t>2.5k</t>
  </si>
  <si>
    <t>4k</t>
  </si>
  <si>
    <t>User</t>
  </si>
  <si>
    <t>Correct Pron. Score</t>
  </si>
  <si>
    <t>Similar word Pron. Score</t>
  </si>
  <si>
    <t>Different word Score</t>
  </si>
  <si>
    <t>0-4</t>
  </si>
  <si>
    <t>30k</t>
  </si>
  <si>
    <t>35k</t>
  </si>
  <si>
    <t>5-9</t>
  </si>
  <si>
    <t>10-14</t>
  </si>
  <si>
    <t>15-19</t>
  </si>
  <si>
    <t>0.6496 - 0.6766</t>
  </si>
  <si>
    <t>20-60</t>
  </si>
  <si>
    <t>70-100</t>
  </si>
  <si>
    <t>1 - vaishnavi</t>
  </si>
  <si>
    <t>2 - akhilesh</t>
  </si>
  <si>
    <t>3- alisha</t>
  </si>
  <si>
    <t>4- balu</t>
  </si>
  <si>
    <t>5 - irfan</t>
  </si>
  <si>
    <t>6 - janhavi</t>
  </si>
  <si>
    <t>7 - medha</t>
  </si>
  <si>
    <t>8 - pawan</t>
  </si>
  <si>
    <t>9 - pooja</t>
  </si>
  <si>
    <t>10 - pranshu</t>
  </si>
  <si>
    <t>Incorrect pron1 - ach</t>
  </si>
  <si>
    <t>Incorrect pron2 - achtee</t>
  </si>
  <si>
    <t>Incorrect pron3 - ektt</t>
  </si>
  <si>
    <t>Incorrect pron4 - ocht</t>
  </si>
  <si>
    <t>10 - ramu</t>
  </si>
  <si>
    <t>Exp. No</t>
  </si>
  <si>
    <t>Train Size</t>
  </si>
  <si>
    <t>PER (Phoneme Error Rate)</t>
  </si>
  <si>
    <t>Epochs</t>
  </si>
  <si>
    <t>Early stopping at epoch 33</t>
  </si>
  <si>
    <t>Early stopping at epoch 24</t>
  </si>
  <si>
    <t>Early stopping at epoch 20</t>
  </si>
  <si>
    <t>Early stopping at epoch 26</t>
  </si>
  <si>
    <t>Early stopping at epoch 21</t>
  </si>
  <si>
    <t>Min</t>
  </si>
  <si>
    <t>Max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</si>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</sst>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3" borderId="1" xfId="0" applyFill="1" applyBorder="1"/>
    <xf numFmtId="49" fontId="0" fillId="3" borderId="1" xfId="0" applyNumberFormat="1" applyFill="1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allosaurus_exp!$C$1</c:f>
              <c:strCache>
                <c:ptCount val="1"/>
                <c:pt idx="0">
                  <c:v>PER (Phoneme Error Rate)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allosaurus_exp!$B$2:$B$7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2000</c:v>
                </c:pt>
                <c:pt idx="3">
                  <c:v>5000</c:v>
                </c:pt>
                <c:pt idx="4">
                  <c:v>16000</c:v>
                </c:pt>
                <c:pt idx="5">
                  <c:v>50000</c:v>
                </c:pt>
              </c:numCache>
            </c:numRef>
          </c:xVal>
          <c:yVal>
            <c:numRef>
              <c:f>allosaurus_exp!$C$2:$C$7</c:f>
              <c:numCache>
                <c:formatCode>General</c:formatCode>
                <c:ptCount val="6"/>
                <c:pt idx="0">
                  <c:v>0.39806000000000002</c:v>
                </c:pt>
                <c:pt idx="1">
                  <c:v>0.30317</c:v>
                </c:pt>
                <c:pt idx="2">
                  <c:v>0.26127</c:v>
                </c:pt>
                <c:pt idx="3">
                  <c:v>0.23014999999999999</c:v>
                </c:pt>
                <c:pt idx="4">
                  <c:v>0.19574</c:v>
                </c:pt>
                <c:pt idx="5">
                  <c:v>0.16886999999999999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23-4205-8998-DBC9C77F3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388832"/>
        <c:axId val="424384992"/>
      </c:scatterChart>
      <c:valAx>
        <c:axId val="42438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84992"/>
        <c:crosses val="autoZero"/>
        <c:crossBetween val="midCat"/>
      </c:valAx>
      <c:valAx>
        <c:axId val="42438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888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Phone Error Rate (PER)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allosaurus_exp!$I$2:$I$7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2000</c:v>
                </c:pt>
                <c:pt idx="3">
                  <c:v>5000</c:v>
                </c:pt>
                <c:pt idx="4">
                  <c:v>16000</c:v>
                </c:pt>
                <c:pt idx="5">
                  <c:v>50000</c:v>
                </c:pt>
              </c:numCache>
            </c:numRef>
          </c:xVal>
          <c:yVal>
            <c:numRef>
              <c:f>allosaurus_exp!$J$2:$J$7</c:f>
              <c:numCache>
                <c:formatCode>General</c:formatCode>
                <c:ptCount val="6"/>
                <c:pt idx="0">
                  <c:v>0.4</c:v>
                </c:pt>
                <c:pt idx="1">
                  <c:v>0.3</c:v>
                </c:pt>
                <c:pt idx="2">
                  <c:v>0.26</c:v>
                </c:pt>
                <c:pt idx="3">
                  <c:v>0.23</c:v>
                </c:pt>
                <c:pt idx="4">
                  <c:v>0.2</c:v>
                </c:pt>
                <c:pt idx="5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FD-4217-AD73-DA1BC2DF9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27615"/>
        <c:axId val="199228575"/>
      </c:scatterChart>
      <c:valAx>
        <c:axId val="19922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28575"/>
        <c:crosses val="autoZero"/>
        <c:crossBetween val="midCat"/>
      </c:valAx>
      <c:valAx>
        <c:axId val="19922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2761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8</xdr:row>
      <xdr:rowOff>38100</xdr:rowOff>
    </xdr:from>
    <xdr:to>
      <xdr:col>9</xdr:col>
      <xdr:colOff>377190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529140-F987-C91A-DE66-1A63C78C6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</xdr:colOff>
      <xdr:row>5</xdr:row>
      <xdr:rowOff>3810</xdr:rowOff>
    </xdr:from>
    <xdr:to>
      <xdr:col>17</xdr:col>
      <xdr:colOff>327660</xdr:colOff>
      <xdr:row>20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B4A105-F5D2-BD6D-27B9-97E364EAB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C18" sqref="C18"/>
    </sheetView>
  </sheetViews>
  <sheetFormatPr defaultRowHeight="14.4" x14ac:dyDescent="0.3"/>
  <cols>
    <col min="2" max="3" width="13.77734375" bestFit="1" customWidth="1"/>
    <col min="4" max="4" width="9.44140625" bestFit="1" customWidth="1"/>
    <col min="5" max="5" width="75.6640625" bestFit="1" customWidth="1"/>
  </cols>
  <sheetData>
    <row r="1" spans="1:5" ht="29.4" customHeight="1" x14ac:dyDescent="0.3">
      <c r="A1" s="2" t="s">
        <v>26</v>
      </c>
      <c r="B1" s="2" t="s">
        <v>37</v>
      </c>
      <c r="C1" s="2" t="s">
        <v>34</v>
      </c>
      <c r="D1" s="2" t="s">
        <v>27</v>
      </c>
      <c r="E1" s="2" t="s">
        <v>7</v>
      </c>
    </row>
    <row r="2" spans="1:5" x14ac:dyDescent="0.3">
      <c r="A2" s="6" t="s">
        <v>28</v>
      </c>
      <c r="B2" s="6">
        <v>450</v>
      </c>
      <c r="C2" s="6">
        <v>0.33329999999999999</v>
      </c>
      <c r="D2" s="6" t="s">
        <v>29</v>
      </c>
      <c r="E2" s="6" t="s">
        <v>31</v>
      </c>
    </row>
    <row r="3" spans="1:5" x14ac:dyDescent="0.3">
      <c r="A3" s="6" t="s">
        <v>28</v>
      </c>
      <c r="B3" s="6">
        <v>450</v>
      </c>
      <c r="C3" s="6">
        <v>0.31319999999999998</v>
      </c>
      <c r="D3" s="6" t="s">
        <v>29</v>
      </c>
      <c r="E3" s="6" t="s">
        <v>30</v>
      </c>
    </row>
    <row r="4" spans="1:5" x14ac:dyDescent="0.3">
      <c r="A4" s="6" t="s">
        <v>28</v>
      </c>
      <c r="B4" s="6">
        <v>450</v>
      </c>
      <c r="C4" s="6">
        <v>0.35238000000000003</v>
      </c>
      <c r="D4" s="6" t="s">
        <v>32</v>
      </c>
      <c r="E4" s="6" t="s">
        <v>33</v>
      </c>
    </row>
    <row r="5" spans="1:5" x14ac:dyDescent="0.3">
      <c r="A5" s="6" t="s">
        <v>28</v>
      </c>
      <c r="B5" s="6">
        <v>450</v>
      </c>
      <c r="C5" s="7">
        <v>0.35238000000000003</v>
      </c>
      <c r="D5" s="7" t="s">
        <v>32</v>
      </c>
      <c r="E5" s="6" t="s">
        <v>35</v>
      </c>
    </row>
    <row r="6" spans="1:5" x14ac:dyDescent="0.3">
      <c r="A6" s="6" t="s">
        <v>41</v>
      </c>
      <c r="B6" s="6" t="s">
        <v>42</v>
      </c>
      <c r="C6" s="6">
        <v>0.51400000000000001</v>
      </c>
      <c r="D6" s="6" t="s">
        <v>32</v>
      </c>
      <c r="E6" s="6" t="s">
        <v>36</v>
      </c>
    </row>
    <row r="7" spans="1:5" x14ac:dyDescent="0.3">
      <c r="A7" s="6" t="s">
        <v>41</v>
      </c>
      <c r="B7" s="6" t="s">
        <v>43</v>
      </c>
      <c r="C7" s="6">
        <v>0.76700000000000002</v>
      </c>
      <c r="D7" s="6" t="s">
        <v>32</v>
      </c>
      <c r="E7" s="6" t="s">
        <v>36</v>
      </c>
    </row>
    <row r="8" spans="1:5" x14ac:dyDescent="0.3">
      <c r="A8" s="6" t="s">
        <v>41</v>
      </c>
      <c r="B8" s="7" t="s">
        <v>44</v>
      </c>
      <c r="C8" s="7">
        <v>0.81299999999999994</v>
      </c>
      <c r="D8" s="7" t="s">
        <v>32</v>
      </c>
      <c r="E8" s="6" t="s">
        <v>36</v>
      </c>
    </row>
    <row r="9" spans="1:5" x14ac:dyDescent="0.3">
      <c r="A9" s="6" t="s">
        <v>41</v>
      </c>
      <c r="B9" s="6" t="s">
        <v>39</v>
      </c>
      <c r="C9" s="6">
        <v>0.51239999999999997</v>
      </c>
      <c r="D9" s="6" t="s">
        <v>32</v>
      </c>
      <c r="E9" s="6" t="s">
        <v>38</v>
      </c>
    </row>
    <row r="10" spans="1:5" x14ac:dyDescent="0.3">
      <c r="A10" s="6" t="s">
        <v>41</v>
      </c>
      <c r="B10" s="6" t="s">
        <v>40</v>
      </c>
      <c r="C10" s="6">
        <v>0.53593999999999997</v>
      </c>
      <c r="D10" s="6" t="s">
        <v>32</v>
      </c>
      <c r="E10" s="6" t="s">
        <v>38</v>
      </c>
    </row>
    <row r="11" spans="1:5" x14ac:dyDescent="0.3">
      <c r="A11" s="8" t="s">
        <v>41</v>
      </c>
      <c r="B11" s="8" t="s">
        <v>50</v>
      </c>
      <c r="C11" s="8">
        <v>0.79832999999999998</v>
      </c>
      <c r="D11" s="8" t="s">
        <v>32</v>
      </c>
      <c r="E11" s="9" t="s">
        <v>49</v>
      </c>
    </row>
    <row r="12" spans="1:5" x14ac:dyDescent="0.3">
      <c r="A12" s="8" t="s">
        <v>41</v>
      </c>
      <c r="B12" s="8" t="s">
        <v>51</v>
      </c>
      <c r="C12" s="8">
        <v>0.78759999999999997</v>
      </c>
      <c r="D12" s="8" t="s">
        <v>32</v>
      </c>
      <c r="E12" s="9" t="s">
        <v>52</v>
      </c>
    </row>
    <row r="13" spans="1:5" x14ac:dyDescent="0.3">
      <c r="A13" s="8" t="s">
        <v>41</v>
      </c>
      <c r="B13" s="8" t="s">
        <v>51</v>
      </c>
      <c r="C13" s="8" t="s">
        <v>55</v>
      </c>
      <c r="D13" s="8" t="s">
        <v>32</v>
      </c>
      <c r="E13" s="9" t="s">
        <v>53</v>
      </c>
    </row>
    <row r="14" spans="1:5" x14ac:dyDescent="0.3">
      <c r="A14" s="8" t="s">
        <v>41</v>
      </c>
      <c r="B14" s="8" t="s">
        <v>51</v>
      </c>
      <c r="C14" s="8">
        <v>0.68679999999999997</v>
      </c>
      <c r="D14" s="8" t="s">
        <v>32</v>
      </c>
      <c r="E14" s="9" t="s">
        <v>54</v>
      </c>
    </row>
    <row r="15" spans="1:5" x14ac:dyDescent="0.3">
      <c r="A15" s="8" t="s">
        <v>41</v>
      </c>
      <c r="B15" s="8" t="s">
        <v>51</v>
      </c>
      <c r="C15" s="8">
        <v>0.78180000000000005</v>
      </c>
      <c r="D15" s="8" t="s">
        <v>32</v>
      </c>
      <c r="E15" s="9" t="s">
        <v>56</v>
      </c>
    </row>
    <row r="16" spans="1:5" x14ac:dyDescent="0.3">
      <c r="A16" s="8" t="s">
        <v>41</v>
      </c>
      <c r="B16" s="8" t="s">
        <v>51</v>
      </c>
      <c r="C16" s="8">
        <v>0.73199999999999998</v>
      </c>
      <c r="D16" s="8" t="s">
        <v>32</v>
      </c>
      <c r="E16" s="9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397F-490E-40F4-AB21-84080E2CEE40}">
  <dimension ref="A1:K12"/>
  <sheetViews>
    <sheetView topLeftCell="D1" workbookViewId="0">
      <selection sqref="A1:J12"/>
    </sheetView>
  </sheetViews>
  <sheetFormatPr defaultRowHeight="14.4" x14ac:dyDescent="0.3"/>
  <cols>
    <col min="1" max="1" width="7.21875" customWidth="1"/>
    <col min="2" max="2" width="8.6640625" customWidth="1"/>
    <col min="3" max="3" width="10.88671875" customWidth="1"/>
    <col min="4" max="4" width="9.5546875" bestFit="1" customWidth="1"/>
    <col min="5" max="5" width="9.109375" bestFit="1" customWidth="1"/>
    <col min="6" max="6" width="9.21875" bestFit="1" customWidth="1"/>
    <col min="7" max="7" width="9.33203125" customWidth="1"/>
    <col min="8" max="8" width="58.6640625" bestFit="1" customWidth="1"/>
    <col min="10" max="10" width="57.5546875" bestFit="1" customWidth="1"/>
  </cols>
  <sheetData>
    <row r="1" spans="1:11" s="1" customFormat="1" ht="28.8" x14ac:dyDescent="0.3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5</v>
      </c>
      <c r="I1" s="5" t="s">
        <v>10</v>
      </c>
      <c r="J1" s="2" t="s">
        <v>7</v>
      </c>
    </row>
    <row r="2" spans="1:11" x14ac:dyDescent="0.3">
      <c r="A2" s="3">
        <v>1</v>
      </c>
      <c r="B2" s="3">
        <v>10</v>
      </c>
      <c r="C2" s="3">
        <v>5</v>
      </c>
      <c r="D2" s="3">
        <v>128</v>
      </c>
      <c r="E2" s="3">
        <v>5</v>
      </c>
      <c r="F2" s="3">
        <v>32</v>
      </c>
      <c r="G2" s="3" t="s">
        <v>11</v>
      </c>
      <c r="H2" s="3" t="s">
        <v>9</v>
      </c>
      <c r="I2" s="3">
        <v>1.4637180373598699E-15</v>
      </c>
      <c r="J2" s="3" t="s">
        <v>13</v>
      </c>
      <c r="K2" s="4"/>
    </row>
    <row r="3" spans="1:11" x14ac:dyDescent="0.3">
      <c r="A3" s="3">
        <v>2</v>
      </c>
      <c r="B3" s="3">
        <v>25</v>
      </c>
      <c r="C3" s="3">
        <v>6</v>
      </c>
      <c r="D3" s="3">
        <v>64</v>
      </c>
      <c r="E3" s="3">
        <v>7</v>
      </c>
      <c r="F3" s="3">
        <v>64</v>
      </c>
      <c r="G3" s="3" t="s">
        <v>11</v>
      </c>
      <c r="H3" s="3" t="s">
        <v>12</v>
      </c>
      <c r="I3" s="3">
        <v>1.8900436957565902E-15</v>
      </c>
      <c r="J3" s="3" t="s">
        <v>13</v>
      </c>
      <c r="K3" s="4"/>
    </row>
    <row r="4" spans="1:11" x14ac:dyDescent="0.3">
      <c r="A4" s="3">
        <v>3</v>
      </c>
      <c r="B4" s="3">
        <v>50</v>
      </c>
      <c r="C4" s="3">
        <v>5</v>
      </c>
      <c r="D4" s="3">
        <v>64</v>
      </c>
      <c r="E4" s="3">
        <v>3</v>
      </c>
      <c r="F4" s="3">
        <v>64</v>
      </c>
      <c r="G4" s="3" t="s">
        <v>11</v>
      </c>
      <c r="H4" s="3" t="s">
        <v>18</v>
      </c>
      <c r="I4" s="3">
        <v>1.32871496161116E-15</v>
      </c>
      <c r="J4" s="3" t="s">
        <v>13</v>
      </c>
      <c r="K4" s="4"/>
    </row>
    <row r="5" spans="1:11" x14ac:dyDescent="0.3">
      <c r="A5" s="3">
        <v>4</v>
      </c>
      <c r="B5" s="3">
        <v>75</v>
      </c>
      <c r="C5" s="3">
        <v>5</v>
      </c>
      <c r="D5" s="3">
        <v>256</v>
      </c>
      <c r="E5" s="3">
        <v>3</v>
      </c>
      <c r="F5" s="3">
        <v>64</v>
      </c>
      <c r="G5" s="3" t="s">
        <v>11</v>
      </c>
      <c r="H5" s="3" t="s">
        <v>19</v>
      </c>
      <c r="I5" s="3">
        <v>1.0942358071413199E-15</v>
      </c>
      <c r="J5" s="3" t="s">
        <v>13</v>
      </c>
      <c r="K5" s="4"/>
    </row>
    <row r="6" spans="1:11" x14ac:dyDescent="0.3">
      <c r="A6" s="3">
        <v>5</v>
      </c>
      <c r="B6" s="3">
        <v>10</v>
      </c>
      <c r="C6" s="3">
        <v>5</v>
      </c>
      <c r="D6" s="3">
        <v>64</v>
      </c>
      <c r="E6" s="3">
        <v>3</v>
      </c>
      <c r="F6" s="3">
        <v>32</v>
      </c>
      <c r="G6" s="3" t="s">
        <v>14</v>
      </c>
      <c r="H6" s="3" t="s">
        <v>16</v>
      </c>
      <c r="I6" s="3">
        <v>1.5702994519590501E-15</v>
      </c>
      <c r="J6" s="3" t="s">
        <v>15</v>
      </c>
      <c r="K6" s="4"/>
    </row>
    <row r="7" spans="1:11" x14ac:dyDescent="0.3">
      <c r="A7" s="3">
        <v>6</v>
      </c>
      <c r="B7" s="3">
        <v>25</v>
      </c>
      <c r="C7" s="3">
        <v>5</v>
      </c>
      <c r="D7" s="3">
        <v>256</v>
      </c>
      <c r="E7" s="3">
        <v>5</v>
      </c>
      <c r="F7" s="3">
        <v>32</v>
      </c>
      <c r="G7" s="3" t="s">
        <v>14</v>
      </c>
      <c r="H7" s="3" t="s">
        <v>17</v>
      </c>
      <c r="I7" s="3">
        <v>0</v>
      </c>
      <c r="J7" s="3" t="s">
        <v>15</v>
      </c>
      <c r="K7" s="4"/>
    </row>
    <row r="8" spans="1:11" x14ac:dyDescent="0.3">
      <c r="A8" s="3">
        <v>7</v>
      </c>
      <c r="B8" s="3">
        <v>50</v>
      </c>
      <c r="C8" s="3">
        <v>4</v>
      </c>
      <c r="D8" s="3">
        <v>256</v>
      </c>
      <c r="E8" s="3">
        <v>7</v>
      </c>
      <c r="F8" s="3">
        <v>64</v>
      </c>
      <c r="G8" s="3" t="s">
        <v>14</v>
      </c>
      <c r="H8" s="3" t="s">
        <v>20</v>
      </c>
      <c r="I8" s="3">
        <v>1.2789768693110299E-16</v>
      </c>
      <c r="J8" s="3" t="s">
        <v>15</v>
      </c>
      <c r="K8" s="4"/>
    </row>
    <row r="9" spans="1:11" x14ac:dyDescent="0.3">
      <c r="A9" s="3">
        <v>8</v>
      </c>
      <c r="B9" s="3">
        <v>10</v>
      </c>
      <c r="C9" s="3">
        <v>5</v>
      </c>
      <c r="D9" s="3">
        <v>256</v>
      </c>
      <c r="E9" s="3">
        <v>7</v>
      </c>
      <c r="F9" s="3">
        <v>32</v>
      </c>
      <c r="G9" s="3" t="s">
        <v>14</v>
      </c>
      <c r="H9" s="3" t="s">
        <v>22</v>
      </c>
      <c r="I9" s="3">
        <v>1.7763568658700301E-16</v>
      </c>
      <c r="J9" s="3" t="s">
        <v>21</v>
      </c>
      <c r="K9" s="4"/>
    </row>
    <row r="10" spans="1:11" x14ac:dyDescent="0.3">
      <c r="A10" s="3">
        <v>9</v>
      </c>
      <c r="B10" s="3">
        <v>25</v>
      </c>
      <c r="C10" s="3">
        <v>5</v>
      </c>
      <c r="D10" s="3">
        <v>16</v>
      </c>
      <c r="E10" s="3">
        <v>7</v>
      </c>
      <c r="F10" s="3">
        <v>32</v>
      </c>
      <c r="G10" s="3" t="s">
        <v>14</v>
      </c>
      <c r="H10" s="3" t="s">
        <v>23</v>
      </c>
      <c r="I10" s="3">
        <v>1.1084466906556399E-15</v>
      </c>
      <c r="J10" s="3" t="s">
        <v>21</v>
      </c>
      <c r="K10" s="4"/>
    </row>
    <row r="11" spans="1:11" x14ac:dyDescent="0.3">
      <c r="A11" s="3">
        <v>10</v>
      </c>
      <c r="B11" s="3">
        <v>50</v>
      </c>
      <c r="C11" s="3">
        <v>6</v>
      </c>
      <c r="D11" s="3">
        <v>256</v>
      </c>
      <c r="E11" s="3">
        <v>3</v>
      </c>
      <c r="F11" s="3">
        <v>64</v>
      </c>
      <c r="G11" s="3" t="s">
        <v>14</v>
      </c>
      <c r="H11" s="3" t="s">
        <v>24</v>
      </c>
      <c r="I11" s="3">
        <v>0</v>
      </c>
      <c r="J11" s="3" t="s">
        <v>21</v>
      </c>
      <c r="K11" s="4"/>
    </row>
    <row r="12" spans="1:11" x14ac:dyDescent="0.3">
      <c r="A12" s="3">
        <v>11</v>
      </c>
      <c r="B12" s="3">
        <v>75</v>
      </c>
      <c r="C12" s="3">
        <v>4</v>
      </c>
      <c r="D12" s="3">
        <v>256</v>
      </c>
      <c r="E12" s="3">
        <v>3</v>
      </c>
      <c r="F12" s="3">
        <v>32</v>
      </c>
      <c r="G12" s="3" t="s">
        <v>14</v>
      </c>
      <c r="H12" s="3" t="s">
        <v>25</v>
      </c>
      <c r="I12" s="3">
        <v>1.6342482954246E-16</v>
      </c>
      <c r="J12" s="3" t="s">
        <v>21</v>
      </c>
      <c r="K12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8269F-76CD-422F-ACCD-A70952F0D149}">
  <dimension ref="A1:H15"/>
  <sheetViews>
    <sheetView tabSelected="1" topLeftCell="D1" workbookViewId="0">
      <selection activeCell="G13" sqref="G13"/>
    </sheetView>
  </sheetViews>
  <sheetFormatPr defaultRowHeight="14.4" x14ac:dyDescent="0.3"/>
  <cols>
    <col min="1" max="1" width="11" style="4" bestFit="1" customWidth="1"/>
    <col min="2" max="2" width="18.33203125" style="4" bestFit="1" customWidth="1"/>
    <col min="3" max="3" width="21" style="4" bestFit="1" customWidth="1"/>
    <col min="4" max="4" width="18.6640625" style="4" bestFit="1" customWidth="1"/>
    <col min="5" max="5" width="19.109375" style="4" bestFit="1" customWidth="1"/>
    <col min="6" max="6" width="17" style="4" bestFit="1" customWidth="1"/>
    <col min="7" max="7" width="21.109375" style="4" bestFit="1" customWidth="1"/>
    <col min="8" max="8" width="18.21875" style="4" bestFit="1" customWidth="1"/>
    <col min="9" max="16384" width="8.88671875" style="4"/>
  </cols>
  <sheetData>
    <row r="1" spans="1:8" x14ac:dyDescent="0.3">
      <c r="A1" s="5" t="s">
        <v>45</v>
      </c>
      <c r="B1" s="5" t="s">
        <v>68</v>
      </c>
      <c r="C1" s="5" t="s">
        <v>69</v>
      </c>
      <c r="D1" s="5" t="s">
        <v>70</v>
      </c>
      <c r="E1" s="5" t="s">
        <v>71</v>
      </c>
      <c r="F1" s="5" t="s">
        <v>46</v>
      </c>
      <c r="G1" s="5" t="s">
        <v>47</v>
      </c>
      <c r="H1" s="5" t="s">
        <v>48</v>
      </c>
    </row>
    <row r="2" spans="1:8" x14ac:dyDescent="0.3">
      <c r="A2" s="3" t="s">
        <v>58</v>
      </c>
      <c r="B2" s="3">
        <v>0.99335050000000003</v>
      </c>
      <c r="C2" s="3">
        <v>0.99419564000000005</v>
      </c>
      <c r="D2" s="3">
        <v>0.99395999999999995</v>
      </c>
      <c r="E2" s="3">
        <v>0.99278330000000004</v>
      </c>
      <c r="F2" s="3">
        <v>0.98894939999999998</v>
      </c>
      <c r="G2" s="3">
        <v>0.98968160000000005</v>
      </c>
      <c r="H2" s="3">
        <v>0.78914666</v>
      </c>
    </row>
    <row r="3" spans="1:8" x14ac:dyDescent="0.3">
      <c r="A3" s="3" t="s">
        <v>59</v>
      </c>
      <c r="B3" s="3">
        <v>0.98929180000000005</v>
      </c>
      <c r="C3" s="3">
        <v>0.80884707</v>
      </c>
      <c r="D3" s="3">
        <v>0.92855394000000002</v>
      </c>
      <c r="E3" s="3">
        <v>0.88010036999999997</v>
      </c>
      <c r="F3" s="3">
        <v>0.98589550000000004</v>
      </c>
      <c r="G3" s="3">
        <v>0.96922505000000003</v>
      </c>
      <c r="H3" s="3">
        <v>0.63686776</v>
      </c>
    </row>
    <row r="4" spans="1:8" x14ac:dyDescent="0.3">
      <c r="A4" s="3" t="s">
        <v>60</v>
      </c>
      <c r="B4" s="3">
        <v>0.99008702999999998</v>
      </c>
      <c r="C4" s="3">
        <v>0.89158033999999997</v>
      </c>
      <c r="D4" s="3">
        <v>0.93090810000000002</v>
      </c>
      <c r="E4" s="3">
        <v>0.99426115000000004</v>
      </c>
      <c r="F4" s="3">
        <v>0.97200609999999998</v>
      </c>
      <c r="G4" s="3">
        <v>0.9380404</v>
      </c>
      <c r="H4" s="3">
        <v>0.44537147999999999</v>
      </c>
    </row>
    <row r="5" spans="1:8" x14ac:dyDescent="0.3">
      <c r="A5" s="3" t="s">
        <v>61</v>
      </c>
      <c r="B5" s="3">
        <v>0.98250090000000001</v>
      </c>
      <c r="C5" s="3">
        <v>0.99162510000000004</v>
      </c>
      <c r="D5" s="3">
        <v>0.98324940000000005</v>
      </c>
      <c r="E5" s="3">
        <v>0.98280025000000004</v>
      </c>
      <c r="F5" s="3">
        <v>0.98327659999999995</v>
      </c>
      <c r="G5" s="3">
        <v>0.97495229999999999</v>
      </c>
      <c r="H5" s="3">
        <v>0.81083430000000001</v>
      </c>
    </row>
    <row r="6" spans="1:8" x14ac:dyDescent="0.3">
      <c r="A6" s="3" t="s">
        <v>62</v>
      </c>
      <c r="B6" s="3">
        <v>0.98677029999999999</v>
      </c>
      <c r="C6" s="3">
        <v>0.76158552999999996</v>
      </c>
      <c r="D6" s="3">
        <v>0.23478647999999999</v>
      </c>
      <c r="E6" s="3">
        <v>0.80592244999999996</v>
      </c>
      <c r="F6" s="3">
        <v>0.98913799999999996</v>
      </c>
      <c r="G6" s="3">
        <v>0.95454430000000001</v>
      </c>
      <c r="H6" s="3">
        <v>0.68198879999999995</v>
      </c>
    </row>
    <row r="7" spans="1:8" x14ac:dyDescent="0.3">
      <c r="A7" s="3" t="s">
        <v>63</v>
      </c>
      <c r="B7" s="3">
        <v>0.98176039999999998</v>
      </c>
      <c r="C7" s="3">
        <v>0.99285060000000003</v>
      </c>
      <c r="D7" s="3">
        <v>0.99289369999999999</v>
      </c>
      <c r="E7" s="3">
        <v>0.98161069999999995</v>
      </c>
      <c r="F7" s="3">
        <v>0.9924153</v>
      </c>
      <c r="G7" s="3">
        <v>0.99122370000000004</v>
      </c>
      <c r="H7" s="3">
        <v>0.81156945000000003</v>
      </c>
    </row>
    <row r="8" spans="1:8" x14ac:dyDescent="0.3">
      <c r="A8" s="3" t="s">
        <v>64</v>
      </c>
      <c r="B8" s="3">
        <v>0.98827374000000001</v>
      </c>
      <c r="C8" s="3">
        <v>0.99217860000000002</v>
      </c>
      <c r="D8" s="3">
        <v>0.48179527999999999</v>
      </c>
      <c r="E8" s="3">
        <v>0.99097489999999999</v>
      </c>
      <c r="F8" s="3">
        <v>0.97995520000000003</v>
      </c>
      <c r="G8" s="3">
        <v>0.98495889999999997</v>
      </c>
      <c r="H8" s="3">
        <v>0.82944220000000002</v>
      </c>
    </row>
    <row r="9" spans="1:8" x14ac:dyDescent="0.3">
      <c r="A9" s="3" t="s">
        <v>65</v>
      </c>
      <c r="B9" s="3">
        <v>0.99236906000000003</v>
      </c>
      <c r="C9" s="3">
        <v>0.98838269999999995</v>
      </c>
      <c r="D9" s="3">
        <v>0.97180575000000002</v>
      </c>
      <c r="E9" s="3">
        <v>0.98848879999999995</v>
      </c>
      <c r="F9" s="3">
        <v>0.98944529999999997</v>
      </c>
      <c r="G9" s="3">
        <v>0.98506530000000003</v>
      </c>
      <c r="H9" s="3">
        <v>0.87974744999999999</v>
      </c>
    </row>
    <row r="10" spans="1:8" x14ac:dyDescent="0.3">
      <c r="A10" s="3" t="s">
        <v>66</v>
      </c>
      <c r="B10" s="3">
        <v>0.98762894000000001</v>
      </c>
      <c r="C10" s="3">
        <v>0.98342980000000002</v>
      </c>
      <c r="D10" s="3">
        <v>0.8821097</v>
      </c>
      <c r="E10" s="3">
        <v>0.99394099999999996</v>
      </c>
      <c r="F10" s="3">
        <v>0.97672369999999997</v>
      </c>
      <c r="G10" s="3">
        <v>0.99213874000000002</v>
      </c>
      <c r="H10" s="3">
        <v>0.92706776000000002</v>
      </c>
    </row>
    <row r="11" spans="1:8" hidden="1" x14ac:dyDescent="0.3">
      <c r="A11" s="3" t="s">
        <v>67</v>
      </c>
      <c r="B11" s="3">
        <v>0.99193039999999999</v>
      </c>
      <c r="C11" s="3">
        <v>0.98410845000000002</v>
      </c>
      <c r="D11" s="3">
        <v>0.98321354000000005</v>
      </c>
      <c r="E11" s="3">
        <v>0.98522399999999999</v>
      </c>
      <c r="F11" s="3">
        <v>0.98609329999999995</v>
      </c>
      <c r="G11" s="3">
        <v>0.98500849999999995</v>
      </c>
      <c r="H11" s="3">
        <v>0.99055194999999996</v>
      </c>
    </row>
    <row r="12" spans="1:8" x14ac:dyDescent="0.3">
      <c r="A12" s="3" t="s">
        <v>72</v>
      </c>
      <c r="B12" s="3">
        <v>0.98576929999999996</v>
      </c>
      <c r="C12" s="3">
        <v>0.93388320000000002</v>
      </c>
      <c r="D12" s="3">
        <v>0.32812560000000002</v>
      </c>
      <c r="E12" s="3">
        <v>0.97921860000000005</v>
      </c>
      <c r="F12" s="3">
        <v>0.98319656</v>
      </c>
      <c r="G12" s="3">
        <v>0.98332580000000003</v>
      </c>
      <c r="H12" s="3">
        <v>0.67122000000000004</v>
      </c>
    </row>
    <row r="13" spans="1:8" x14ac:dyDescent="0.3">
      <c r="A13" s="4" t="s">
        <v>84</v>
      </c>
      <c r="B13" s="4">
        <f>AVERAGE(B2:B12)</f>
        <v>0.98815748818181792</v>
      </c>
      <c r="C13" s="4">
        <f t="shared" ref="C13:H13" si="0">AVERAGE(C2:C12)</f>
        <v>0.93842427545454543</v>
      </c>
      <c r="D13" s="4">
        <f t="shared" si="0"/>
        <v>0.79194558999999998</v>
      </c>
      <c r="E13" s="4">
        <f t="shared" si="0"/>
        <v>0.96139322909090907</v>
      </c>
      <c r="F13" s="4">
        <f t="shared" si="0"/>
        <v>0.98428135999999999</v>
      </c>
      <c r="G13" s="4">
        <f t="shared" si="0"/>
        <v>0.97710587181818165</v>
      </c>
      <c r="H13" s="4">
        <f t="shared" si="0"/>
        <v>0.77034616454545457</v>
      </c>
    </row>
    <row r="14" spans="1:8" x14ac:dyDescent="0.3">
      <c r="A14" s="4" t="s">
        <v>82</v>
      </c>
      <c r="B14" s="4">
        <f>MIN(B2:B12)</f>
        <v>0.98176039999999998</v>
      </c>
      <c r="C14" s="4">
        <f t="shared" ref="C14:H14" si="1">MIN(C2:C12)</f>
        <v>0.76158552999999996</v>
      </c>
      <c r="D14" s="4">
        <f t="shared" si="1"/>
        <v>0.23478647999999999</v>
      </c>
      <c r="E14" s="4">
        <f t="shared" si="1"/>
        <v>0.80592244999999996</v>
      </c>
      <c r="F14" s="4">
        <f t="shared" si="1"/>
        <v>0.97200609999999998</v>
      </c>
      <c r="G14" s="4">
        <f t="shared" si="1"/>
        <v>0.9380404</v>
      </c>
      <c r="H14" s="4">
        <f t="shared" si="1"/>
        <v>0.44537147999999999</v>
      </c>
    </row>
    <row r="15" spans="1:8" x14ac:dyDescent="0.3">
      <c r="A15" s="4" t="s">
        <v>83</v>
      </c>
      <c r="B15" s="4">
        <f>MAX(B2:B12)</f>
        <v>0.99335050000000003</v>
      </c>
      <c r="C15" s="4">
        <f t="shared" ref="C15:H15" si="2">MAX(C2:C12)</f>
        <v>0.99419564000000005</v>
      </c>
      <c r="D15" s="4">
        <f t="shared" si="2"/>
        <v>0.99395999999999995</v>
      </c>
      <c r="E15" s="4">
        <f t="shared" si="2"/>
        <v>0.99426115000000004</v>
      </c>
      <c r="F15" s="4">
        <f t="shared" si="2"/>
        <v>0.9924153</v>
      </c>
      <c r="G15" s="4">
        <f t="shared" si="2"/>
        <v>0.99213874000000002</v>
      </c>
      <c r="H15" s="4">
        <f t="shared" si="2"/>
        <v>0.99055194999999996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1A11-3560-4DD4-A29F-34FA466B41BD}">
  <dimension ref="A1:J7"/>
  <sheetViews>
    <sheetView workbookViewId="0">
      <selection activeCell="J25" sqref="J25"/>
    </sheetView>
  </sheetViews>
  <sheetFormatPr defaultRowHeight="14.4" x14ac:dyDescent="0.3"/>
  <cols>
    <col min="1" max="1" width="7.33203125" bestFit="1" customWidth="1"/>
    <col min="2" max="2" width="8.6640625" bestFit="1" customWidth="1"/>
    <col min="3" max="3" width="22.44140625" bestFit="1" customWidth="1"/>
    <col min="4" max="4" width="6.77734375" bestFit="1" customWidth="1"/>
    <col min="5" max="5" width="22.6640625" bestFit="1" customWidth="1"/>
    <col min="9" max="9" width="8.6640625" bestFit="1" customWidth="1"/>
  </cols>
  <sheetData>
    <row r="1" spans="1:10" x14ac:dyDescent="0.3">
      <c r="A1" s="5" t="s">
        <v>73</v>
      </c>
      <c r="B1" s="5" t="s">
        <v>74</v>
      </c>
      <c r="C1" s="5" t="s">
        <v>75</v>
      </c>
      <c r="D1" s="5" t="s">
        <v>76</v>
      </c>
      <c r="E1" s="5" t="s">
        <v>7</v>
      </c>
      <c r="I1" s="5" t="s">
        <v>74</v>
      </c>
      <c r="J1" s="5" t="s">
        <v>75</v>
      </c>
    </row>
    <row r="2" spans="1:10" x14ac:dyDescent="0.3">
      <c r="A2" s="3">
        <v>1</v>
      </c>
      <c r="B2" s="3">
        <v>100</v>
      </c>
      <c r="C2" s="3">
        <v>0.39806000000000002</v>
      </c>
      <c r="D2" s="3">
        <v>50</v>
      </c>
      <c r="E2" s="3" t="s">
        <v>77</v>
      </c>
      <c r="I2" s="3">
        <v>100</v>
      </c>
      <c r="J2">
        <f>ROUND(C2,2)</f>
        <v>0.4</v>
      </c>
    </row>
    <row r="3" spans="1:10" x14ac:dyDescent="0.3">
      <c r="A3" s="3">
        <v>2</v>
      </c>
      <c r="B3" s="3">
        <v>500</v>
      </c>
      <c r="C3" s="3">
        <v>0.30317</v>
      </c>
      <c r="D3" s="3">
        <v>50</v>
      </c>
      <c r="E3" s="3" t="s">
        <v>78</v>
      </c>
      <c r="I3" s="3">
        <v>500</v>
      </c>
      <c r="J3">
        <f>ROUND(C3,2)</f>
        <v>0.3</v>
      </c>
    </row>
    <row r="4" spans="1:10" x14ac:dyDescent="0.3">
      <c r="A4" s="3">
        <v>3</v>
      </c>
      <c r="B4" s="3">
        <v>2000</v>
      </c>
      <c r="C4" s="3">
        <v>0.26127</v>
      </c>
      <c r="D4" s="3">
        <v>50</v>
      </c>
      <c r="E4" s="3" t="s">
        <v>79</v>
      </c>
      <c r="I4" s="3">
        <v>2000</v>
      </c>
      <c r="J4">
        <f>ROUND(C4,2)</f>
        <v>0.26</v>
      </c>
    </row>
    <row r="5" spans="1:10" x14ac:dyDescent="0.3">
      <c r="A5" s="3">
        <v>4</v>
      </c>
      <c r="B5" s="3">
        <v>5000</v>
      </c>
      <c r="C5" s="3">
        <v>0.23014999999999999</v>
      </c>
      <c r="D5" s="3">
        <v>50</v>
      </c>
      <c r="E5" s="3" t="s">
        <v>80</v>
      </c>
      <c r="I5" s="3">
        <v>5000</v>
      </c>
      <c r="J5">
        <f>ROUND(C5,2)</f>
        <v>0.23</v>
      </c>
    </row>
    <row r="6" spans="1:10" x14ac:dyDescent="0.3">
      <c r="A6" s="3">
        <v>5</v>
      </c>
      <c r="B6" s="3">
        <v>16000</v>
      </c>
      <c r="C6" s="3">
        <v>0.19574</v>
      </c>
      <c r="D6" s="3">
        <v>50</v>
      </c>
      <c r="E6" s="3" t="s">
        <v>81</v>
      </c>
      <c r="I6" s="3">
        <v>16000</v>
      </c>
      <c r="J6">
        <f>ROUND(C6,2)</f>
        <v>0.2</v>
      </c>
    </row>
    <row r="7" spans="1:10" x14ac:dyDescent="0.3">
      <c r="A7" s="10">
        <v>6</v>
      </c>
      <c r="B7" s="10">
        <v>50000</v>
      </c>
      <c r="C7" s="3">
        <v>0.16886999999999999</v>
      </c>
      <c r="D7" s="10">
        <v>50</v>
      </c>
      <c r="E7" s="3" t="s">
        <v>80</v>
      </c>
      <c r="I7" s="10">
        <v>50000</v>
      </c>
      <c r="J7">
        <f>ROUND(C7,2)</f>
        <v>0.17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siamese_train_result_active</vt:lpstr>
      <vt:lpstr>hyperopt_result</vt:lpstr>
      <vt:lpstr>word- human eval</vt:lpstr>
      <vt:lpstr>allosaurus_exp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</dc:creator>
  <cp:lastModifiedBy>Sheetal Navin Mehta</cp:lastModifiedBy>
  <dcterms:created xsi:type="dcterms:W3CDTF">2015-06-05T18:17:20Z</dcterms:created>
  <dcterms:modified xsi:type="dcterms:W3CDTF">2024-07-29T16:43:58Z</dcterms:modified>
</cp:coreProperties>
</file>