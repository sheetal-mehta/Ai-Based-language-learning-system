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SRH Study Data\SEM 04\Master's Thesis\codebase\Evaluation\"/>
    </mc:Choice>
  </mc:AlternateContent>
  <xr:revisionPtr revIDLastSave="0" documentId="13_ncr:1_{C31ED4E8-6381-41F6-9745-169149329BFA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Gen_Model_eval" sheetId="1" r:id="rId1"/>
    <sheet name="list_genmodels" sheetId="3" r:id="rId2"/>
    <sheet name="metrics_ge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2" l="1"/>
  <c r="E8" i="2"/>
  <c r="F8" i="2"/>
  <c r="G8" i="2"/>
  <c r="H8" i="2"/>
  <c r="I8" i="2"/>
  <c r="C8" i="2"/>
  <c r="D22" i="2"/>
  <c r="E22" i="2"/>
  <c r="F22" i="2"/>
  <c r="G22" i="2"/>
  <c r="H22" i="2"/>
  <c r="I22" i="2"/>
  <c r="C22" i="2"/>
</calcChain>
</file>

<file path=xl/sharedStrings.xml><?xml version="1.0" encoding="utf-8"?>
<sst xmlns="http://schemas.openxmlformats.org/spreadsheetml/2006/main" count="97" uniqueCount="84">
  <si>
    <t>Model no.</t>
  </si>
  <si>
    <t>Model</t>
  </si>
  <si>
    <t>Parameters</t>
  </si>
  <si>
    <t>6.4B</t>
  </si>
  <si>
    <t>Model size</t>
  </si>
  <si>
    <t>9.94GB</t>
  </si>
  <si>
    <t>Link</t>
  </si>
  <si>
    <t>https://huggingface.co/philschmid/instruct-igel-001</t>
  </si>
  <si>
    <t>IGEL: Instruction-tuned German large Language Model for Text</t>
  </si>
  <si>
    <t>Notes</t>
  </si>
  <si>
    <t>Too big, neds approx 16 or so gb locally.</t>
  </si>
  <si>
    <t>LAION LeoLM: Linguistically Enhanced Open Language Model</t>
  </si>
  <si>
    <t>13B</t>
  </si>
  <si>
    <t>https://huggingface.co/LeoLM/leo-hessianai-13b</t>
  </si>
  <si>
    <t>Token</t>
  </si>
  <si>
    <t>Pos</t>
  </si>
  <si>
    <t>ich</t>
  </si>
  <si>
    <t>esse</t>
  </si>
  <si>
    <t>subject</t>
  </si>
  <si>
    <t>verb</t>
  </si>
  <si>
    <t>Logical flow</t>
  </si>
  <si>
    <t>Contextual Relevance</t>
  </si>
  <si>
    <t>How well the generated output fits the given context or input prompt.</t>
  </si>
  <si>
    <t>User satisfaction</t>
  </si>
  <si>
    <t>Structure of feedback</t>
  </si>
  <si>
    <t>Ease of understanding</t>
  </si>
  <si>
    <t>Metrics</t>
  </si>
  <si>
    <t>Description</t>
  </si>
  <si>
    <t>gpt 3.5</t>
  </si>
  <si>
    <t>gpt4</t>
  </si>
  <si>
    <t>gpt 4o</t>
  </si>
  <si>
    <t>mistral</t>
  </si>
  <si>
    <t>https://huggingface.co/mistralai/Mistral-7B-Instruct-v0.1</t>
  </si>
  <si>
    <t>7B</t>
  </si>
  <si>
    <t>https://huggingface.co/meta-llama/Meta-Llama-3-8B-Instruct</t>
  </si>
  <si>
    <t>Llama instruct</t>
  </si>
  <si>
    <t>8B</t>
  </si>
  <si>
    <t>Gemini</t>
  </si>
  <si>
    <t>Models</t>
  </si>
  <si>
    <t>Gpt 3.5</t>
  </si>
  <si>
    <t>Gpt4</t>
  </si>
  <si>
    <t>Gpt 4o</t>
  </si>
  <si>
    <t>Mistral</t>
  </si>
  <si>
    <t>Llama</t>
  </si>
  <si>
    <t>Quality of feedback</t>
  </si>
  <si>
    <t>Correctness of feedback</t>
  </si>
  <si>
    <t>Quality of Feedback</t>
  </si>
  <si>
    <t>Correctness of Feedback</t>
  </si>
  <si>
    <t>Articles</t>
  </si>
  <si>
    <t>Prepositions</t>
  </si>
  <si>
    <t>Spellings</t>
  </si>
  <si>
    <t>En - Declanations</t>
  </si>
  <si>
    <t>GPT3.5</t>
  </si>
  <si>
    <t>GPT4</t>
  </si>
  <si>
    <t>GPT4o</t>
  </si>
  <si>
    <t>Mixtral</t>
  </si>
  <si>
    <t>Models (Out of 5)</t>
  </si>
  <si>
    <t>Punctuation</t>
  </si>
  <si>
    <t>Incorrect Verb position.</t>
  </si>
  <si>
    <t>Incorrect conjugation of verb with subject.</t>
  </si>
  <si>
    <t>Incorrect or missing articles.</t>
  </si>
  <si>
    <t>Incorrect spellings.</t>
  </si>
  <si>
    <t>Incorrect or missing declanation.</t>
  </si>
  <si>
    <t>Incorrect or missing punctuation marks.</t>
  </si>
  <si>
    <t>Models (Out of 10)</t>
  </si>
  <si>
    <t>Model size/ Parameters</t>
  </si>
  <si>
    <t>The flow of information and they way It is presented seems logical</t>
  </si>
  <si>
    <t>How satisfied the user is with the feedback</t>
  </si>
  <si>
    <t>The way feedback information is arranged</t>
  </si>
  <si>
    <t>How easy it is to follow the feedback information.</t>
  </si>
  <si>
    <t>Incorrect or missing prepositions and infinitiv form.</t>
  </si>
  <si>
    <t>Closed source models</t>
  </si>
  <si>
    <t>Open source models</t>
  </si>
  <si>
    <t>From above metrics as quality is subjective</t>
  </si>
  <si>
    <t>Can be defined by how much it recognizes different types of errors or points them out.</t>
  </si>
  <si>
    <t>Evaluation of Generative Models</t>
  </si>
  <si>
    <t>Llama3</t>
  </si>
  <si>
    <t>EM German Mistral</t>
  </si>
  <si>
    <t>Verb Position</t>
  </si>
  <si>
    <t>Verb Conjugation</t>
  </si>
  <si>
    <t>Model no</t>
  </si>
  <si>
    <t>mistral em</t>
  </si>
  <si>
    <t>Average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</si>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</sst>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0" xfId="0" applyFont="1"/>
    <xf numFmtId="0" fontId="2" fillId="3" borderId="1" xfId="0" applyFont="1" applyFill="1" applyBorder="1"/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0" fillId="0" borderId="1" xfId="0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E1" sqref="E1"/>
    </sheetView>
  </sheetViews>
  <sheetFormatPr defaultRowHeight="14.4" x14ac:dyDescent="0.3"/>
  <cols>
    <col min="2" max="2" width="33.88671875" customWidth="1"/>
  </cols>
  <sheetData>
    <row r="1" spans="1:6" x14ac:dyDescent="0.3">
      <c r="A1" t="s">
        <v>0</v>
      </c>
      <c r="B1" t="s">
        <v>1</v>
      </c>
      <c r="C1" t="s">
        <v>4</v>
      </c>
      <c r="D1" t="s">
        <v>2</v>
      </c>
      <c r="E1" t="s">
        <v>6</v>
      </c>
      <c r="F1" t="s">
        <v>9</v>
      </c>
    </row>
    <row r="2" spans="1:6" x14ac:dyDescent="0.3">
      <c r="A2">
        <v>1</v>
      </c>
      <c r="B2" s="2" t="s">
        <v>8</v>
      </c>
      <c r="C2" s="2" t="s">
        <v>5</v>
      </c>
      <c r="D2" s="2" t="s">
        <v>3</v>
      </c>
      <c r="E2" s="2" t="s">
        <v>7</v>
      </c>
      <c r="F2" s="2" t="s">
        <v>10</v>
      </c>
    </row>
    <row r="3" spans="1:6" x14ac:dyDescent="0.3">
      <c r="A3">
        <v>2</v>
      </c>
      <c r="B3" s="2" t="s">
        <v>11</v>
      </c>
      <c r="C3" s="2"/>
      <c r="D3" s="2" t="s">
        <v>12</v>
      </c>
      <c r="E3" s="2" t="s">
        <v>13</v>
      </c>
      <c r="F3" s="2"/>
    </row>
    <row r="4" spans="1:6" x14ac:dyDescent="0.3">
      <c r="A4">
        <v>3</v>
      </c>
      <c r="B4" t="s">
        <v>28</v>
      </c>
    </row>
    <row r="5" spans="1:6" x14ac:dyDescent="0.3">
      <c r="A5">
        <v>4</v>
      </c>
      <c r="B5" t="s">
        <v>29</v>
      </c>
    </row>
    <row r="6" spans="1:6" x14ac:dyDescent="0.3">
      <c r="A6">
        <v>5</v>
      </c>
      <c r="B6" t="s">
        <v>30</v>
      </c>
    </row>
    <row r="7" spans="1:6" x14ac:dyDescent="0.3">
      <c r="A7">
        <v>6</v>
      </c>
      <c r="B7" t="s">
        <v>31</v>
      </c>
      <c r="D7" t="s">
        <v>33</v>
      </c>
      <c r="E7" t="s">
        <v>32</v>
      </c>
    </row>
    <row r="8" spans="1:6" x14ac:dyDescent="0.3">
      <c r="A8">
        <v>7</v>
      </c>
      <c r="B8" t="s">
        <v>35</v>
      </c>
      <c r="D8" t="s">
        <v>36</v>
      </c>
      <c r="E8" t="s">
        <v>34</v>
      </c>
    </row>
    <row r="9" spans="1:6" x14ac:dyDescent="0.3">
      <c r="B9" t="s">
        <v>37</v>
      </c>
    </row>
    <row r="14" spans="1:6" x14ac:dyDescent="0.3">
      <c r="B14" t="s">
        <v>14</v>
      </c>
      <c r="C14" t="s">
        <v>16</v>
      </c>
      <c r="D14" t="s">
        <v>17</v>
      </c>
    </row>
    <row r="15" spans="1:6" x14ac:dyDescent="0.3">
      <c r="B15" t="s">
        <v>15</v>
      </c>
      <c r="C15" t="s">
        <v>18</v>
      </c>
      <c r="D1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5F76E-6042-4F45-B111-323246C111FB}">
  <dimension ref="A1:C8"/>
  <sheetViews>
    <sheetView workbookViewId="0">
      <selection activeCell="B9" sqref="B9"/>
    </sheetView>
  </sheetViews>
  <sheetFormatPr defaultRowHeight="14.4" x14ac:dyDescent="0.3"/>
  <sheetData>
    <row r="1" spans="1:3" x14ac:dyDescent="0.3">
      <c r="A1" t="s">
        <v>80</v>
      </c>
      <c r="B1" s="3" t="s">
        <v>38</v>
      </c>
      <c r="C1" s="3" t="s">
        <v>65</v>
      </c>
    </row>
    <row r="2" spans="1:3" x14ac:dyDescent="0.3">
      <c r="A2">
        <v>1</v>
      </c>
      <c r="B2" s="1" t="s">
        <v>39</v>
      </c>
      <c r="C2" s="1"/>
    </row>
    <row r="3" spans="1:3" x14ac:dyDescent="0.3">
      <c r="A3">
        <v>2</v>
      </c>
      <c r="B3" s="1" t="s">
        <v>40</v>
      </c>
      <c r="C3" s="1"/>
    </row>
    <row r="4" spans="1:3" x14ac:dyDescent="0.3">
      <c r="A4">
        <v>3</v>
      </c>
      <c r="B4" s="1" t="s">
        <v>41</v>
      </c>
      <c r="C4" s="1"/>
    </row>
    <row r="5" spans="1:3" x14ac:dyDescent="0.3">
      <c r="A5">
        <v>4</v>
      </c>
      <c r="B5" s="7" t="s">
        <v>37</v>
      </c>
      <c r="C5" s="1"/>
    </row>
    <row r="6" spans="1:3" x14ac:dyDescent="0.3">
      <c r="A6">
        <v>5</v>
      </c>
      <c r="B6" s="1" t="s">
        <v>42</v>
      </c>
      <c r="C6" s="1"/>
    </row>
    <row r="7" spans="1:3" x14ac:dyDescent="0.3">
      <c r="A7">
        <v>6</v>
      </c>
      <c r="B7" s="1" t="s">
        <v>43</v>
      </c>
      <c r="C7" s="1"/>
    </row>
    <row r="8" spans="1:3" x14ac:dyDescent="0.3">
      <c r="B8" s="7" t="s">
        <v>81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4C1E9-DA33-49BF-A7E5-18122B51DB2B}">
  <dimension ref="A1:L22"/>
  <sheetViews>
    <sheetView tabSelected="1" zoomScale="70" zoomScaleNormal="70" workbookViewId="0">
      <selection activeCell="A13" sqref="A13:I22"/>
    </sheetView>
  </sheetViews>
  <sheetFormatPr defaultRowHeight="14.4" x14ac:dyDescent="0.3"/>
  <cols>
    <col min="1" max="1" width="28.77734375" bestFit="1" customWidth="1"/>
    <col min="2" max="2" width="58.77734375" bestFit="1" customWidth="1"/>
    <col min="9" max="9" width="17.33203125" bestFit="1" customWidth="1"/>
  </cols>
  <sheetData>
    <row r="1" spans="1:12" x14ac:dyDescent="0.3">
      <c r="A1" s="17" t="s">
        <v>46</v>
      </c>
      <c r="B1" s="17"/>
      <c r="C1" s="14" t="s">
        <v>56</v>
      </c>
      <c r="D1" s="15"/>
      <c r="E1" s="15"/>
      <c r="F1" s="15"/>
      <c r="G1" s="15"/>
      <c r="H1" s="15"/>
      <c r="I1" s="15"/>
    </row>
    <row r="2" spans="1:12" x14ac:dyDescent="0.3">
      <c r="A2" s="5" t="s">
        <v>26</v>
      </c>
      <c r="B2" s="5" t="s">
        <v>27</v>
      </c>
      <c r="C2" s="9" t="s">
        <v>52</v>
      </c>
      <c r="D2" s="9" t="s">
        <v>53</v>
      </c>
      <c r="E2" s="9" t="s">
        <v>54</v>
      </c>
      <c r="F2" s="10" t="s">
        <v>37</v>
      </c>
      <c r="G2" s="10" t="s">
        <v>55</v>
      </c>
      <c r="H2" s="10" t="s">
        <v>43</v>
      </c>
      <c r="I2" s="10" t="s">
        <v>77</v>
      </c>
    </row>
    <row r="3" spans="1:12" x14ac:dyDescent="0.3">
      <c r="A3" s="13" t="s">
        <v>20</v>
      </c>
      <c r="B3" s="13" t="s">
        <v>66</v>
      </c>
      <c r="C3" s="19">
        <v>3.46875</v>
      </c>
      <c r="D3" s="18">
        <v>3.5</v>
      </c>
      <c r="E3" s="19">
        <v>3.40625</v>
      </c>
      <c r="F3" s="18">
        <v>3.5</v>
      </c>
      <c r="G3" s="19">
        <v>3</v>
      </c>
      <c r="H3" s="19">
        <v>3.15625</v>
      </c>
      <c r="I3" s="19">
        <v>3.1875</v>
      </c>
    </row>
    <row r="4" spans="1:12" x14ac:dyDescent="0.3">
      <c r="A4" s="13" t="s">
        <v>21</v>
      </c>
      <c r="B4" s="13" t="s">
        <v>22</v>
      </c>
      <c r="C4" s="19">
        <v>3.40625</v>
      </c>
      <c r="D4" s="18">
        <v>3.5</v>
      </c>
      <c r="E4" s="19">
        <v>3.46875</v>
      </c>
      <c r="F4" s="19">
        <v>3.53125</v>
      </c>
      <c r="G4" s="19">
        <v>3.03125</v>
      </c>
      <c r="H4" s="19">
        <v>3.21875</v>
      </c>
      <c r="I4" s="19">
        <v>3.15625</v>
      </c>
      <c r="K4" s="12"/>
      <c r="L4" s="4" t="s">
        <v>71</v>
      </c>
    </row>
    <row r="5" spans="1:12" x14ac:dyDescent="0.3">
      <c r="A5" s="13" t="s">
        <v>23</v>
      </c>
      <c r="B5" s="13" t="s">
        <v>67</v>
      </c>
      <c r="C5" s="19">
        <v>3.25</v>
      </c>
      <c r="D5" s="19">
        <v>3.46875</v>
      </c>
      <c r="E5" s="19">
        <v>3.25</v>
      </c>
      <c r="F5" s="18">
        <v>3.5</v>
      </c>
      <c r="G5" s="19">
        <v>2.8125</v>
      </c>
      <c r="H5" s="19">
        <v>2.96875</v>
      </c>
      <c r="I5" s="19">
        <v>3.03125</v>
      </c>
      <c r="K5" s="11"/>
      <c r="L5" s="4" t="s">
        <v>72</v>
      </c>
    </row>
    <row r="6" spans="1:12" x14ac:dyDescent="0.3">
      <c r="A6" s="13" t="s">
        <v>24</v>
      </c>
      <c r="B6" s="13" t="s">
        <v>68</v>
      </c>
      <c r="C6" s="19">
        <v>3.375</v>
      </c>
      <c r="D6" s="19">
        <v>3.3125</v>
      </c>
      <c r="E6" s="19">
        <v>3.21875</v>
      </c>
      <c r="F6" s="18">
        <v>3.5</v>
      </c>
      <c r="G6" s="19">
        <v>2.8125</v>
      </c>
      <c r="H6" s="19">
        <v>3.0625</v>
      </c>
      <c r="I6" s="19">
        <v>3</v>
      </c>
    </row>
    <row r="7" spans="1:12" x14ac:dyDescent="0.3">
      <c r="A7" s="13" t="s">
        <v>25</v>
      </c>
      <c r="B7" s="13" t="s">
        <v>69</v>
      </c>
      <c r="C7" s="19">
        <v>3.375</v>
      </c>
      <c r="D7" s="19">
        <v>3.4375</v>
      </c>
      <c r="E7" s="19">
        <v>3.375</v>
      </c>
      <c r="F7" s="18">
        <v>3.625</v>
      </c>
      <c r="G7" s="19">
        <v>2.90625</v>
      </c>
      <c r="H7" s="19">
        <v>3.21875</v>
      </c>
      <c r="I7" s="19">
        <v>3.21875</v>
      </c>
    </row>
    <row r="8" spans="1:12" x14ac:dyDescent="0.3">
      <c r="A8" s="17" t="s">
        <v>82</v>
      </c>
      <c r="B8" s="17"/>
      <c r="C8" s="19">
        <f>AVERAGE(C3:C7)</f>
        <v>3.375</v>
      </c>
      <c r="D8" s="19">
        <f t="shared" ref="D8:I8" si="0">AVERAGE(D3:D7)</f>
        <v>3.4437500000000001</v>
      </c>
      <c r="E8" s="19">
        <f t="shared" si="0"/>
        <v>3.34375</v>
      </c>
      <c r="F8" s="18">
        <f t="shared" si="0"/>
        <v>3.53125</v>
      </c>
      <c r="G8" s="19">
        <f t="shared" si="0"/>
        <v>2.9125000000000001</v>
      </c>
      <c r="H8" s="19">
        <f t="shared" si="0"/>
        <v>3.125</v>
      </c>
      <c r="I8" s="19">
        <f t="shared" si="0"/>
        <v>3.1187499999999999</v>
      </c>
    </row>
    <row r="10" spans="1:12" x14ac:dyDescent="0.3">
      <c r="A10" s="16" t="s">
        <v>75</v>
      </c>
      <c r="B10" s="8" t="s">
        <v>44</v>
      </c>
      <c r="C10" s="1" t="s">
        <v>73</v>
      </c>
      <c r="D10" s="1"/>
    </row>
    <row r="11" spans="1:12" x14ac:dyDescent="0.3">
      <c r="A11" s="16"/>
      <c r="B11" s="8" t="s">
        <v>45</v>
      </c>
      <c r="C11" s="1" t="s">
        <v>74</v>
      </c>
      <c r="D11" s="1"/>
    </row>
    <row r="13" spans="1:12" x14ac:dyDescent="0.3">
      <c r="A13" s="16" t="s">
        <v>47</v>
      </c>
      <c r="B13" s="16"/>
      <c r="C13" s="14" t="s">
        <v>64</v>
      </c>
      <c r="D13" s="15"/>
      <c r="E13" s="15"/>
      <c r="F13" s="15"/>
      <c r="G13" s="15"/>
      <c r="H13" s="15"/>
      <c r="I13" s="15"/>
    </row>
    <row r="14" spans="1:12" x14ac:dyDescent="0.3">
      <c r="A14" s="6" t="s">
        <v>26</v>
      </c>
      <c r="B14" s="6" t="s">
        <v>27</v>
      </c>
      <c r="C14" s="9" t="s">
        <v>52</v>
      </c>
      <c r="D14" s="9" t="s">
        <v>53</v>
      </c>
      <c r="E14" s="9" t="s">
        <v>54</v>
      </c>
      <c r="F14" s="10" t="s">
        <v>37</v>
      </c>
      <c r="G14" s="10" t="s">
        <v>42</v>
      </c>
      <c r="H14" s="10" t="s">
        <v>76</v>
      </c>
      <c r="I14" s="10" t="s">
        <v>77</v>
      </c>
      <c r="K14" s="12"/>
      <c r="L14" s="4" t="s">
        <v>71</v>
      </c>
    </row>
    <row r="15" spans="1:12" x14ac:dyDescent="0.3">
      <c r="A15" s="13" t="s">
        <v>78</v>
      </c>
      <c r="B15" s="13" t="s">
        <v>58</v>
      </c>
      <c r="C15" s="13">
        <v>7</v>
      </c>
      <c r="D15" s="13">
        <v>9</v>
      </c>
      <c r="E15" s="13">
        <v>10</v>
      </c>
      <c r="F15" s="13">
        <v>1</v>
      </c>
      <c r="G15" s="19">
        <v>0</v>
      </c>
      <c r="H15" s="19">
        <v>9</v>
      </c>
      <c r="I15" s="19">
        <v>2</v>
      </c>
      <c r="K15" s="11"/>
      <c r="L15" s="4" t="s">
        <v>72</v>
      </c>
    </row>
    <row r="16" spans="1:12" x14ac:dyDescent="0.3">
      <c r="A16" s="13" t="s">
        <v>79</v>
      </c>
      <c r="B16" s="13" t="s">
        <v>59</v>
      </c>
      <c r="C16" s="13">
        <v>10</v>
      </c>
      <c r="D16" s="13">
        <v>10</v>
      </c>
      <c r="E16" s="13">
        <v>10</v>
      </c>
      <c r="F16" s="13">
        <v>5</v>
      </c>
      <c r="G16" s="19">
        <v>4</v>
      </c>
      <c r="H16" s="19">
        <v>8</v>
      </c>
      <c r="I16" s="19">
        <v>6</v>
      </c>
    </row>
    <row r="17" spans="1:9" x14ac:dyDescent="0.3">
      <c r="A17" s="13" t="s">
        <v>48</v>
      </c>
      <c r="B17" s="13" t="s">
        <v>60</v>
      </c>
      <c r="C17" s="13">
        <v>10</v>
      </c>
      <c r="D17" s="13">
        <v>6</v>
      </c>
      <c r="E17" s="13">
        <v>10</v>
      </c>
      <c r="F17" s="13">
        <v>7</v>
      </c>
      <c r="G17" s="19">
        <v>2</v>
      </c>
      <c r="H17" s="19">
        <v>4</v>
      </c>
      <c r="I17" s="19">
        <v>3</v>
      </c>
    </row>
    <row r="18" spans="1:9" x14ac:dyDescent="0.3">
      <c r="A18" s="13" t="s">
        <v>49</v>
      </c>
      <c r="B18" s="13" t="s">
        <v>70</v>
      </c>
      <c r="C18" s="13">
        <v>8</v>
      </c>
      <c r="D18" s="13">
        <v>7</v>
      </c>
      <c r="E18" s="13">
        <v>10</v>
      </c>
      <c r="F18" s="13">
        <v>7</v>
      </c>
      <c r="G18" s="19">
        <v>3</v>
      </c>
      <c r="H18" s="19">
        <v>4</v>
      </c>
      <c r="I18" s="19">
        <v>1</v>
      </c>
    </row>
    <row r="19" spans="1:9" x14ac:dyDescent="0.3">
      <c r="A19" s="13" t="s">
        <v>50</v>
      </c>
      <c r="B19" s="13" t="s">
        <v>61</v>
      </c>
      <c r="C19" s="13">
        <v>1</v>
      </c>
      <c r="D19" s="13">
        <v>10</v>
      </c>
      <c r="E19" s="13">
        <v>10</v>
      </c>
      <c r="F19" s="13">
        <v>8</v>
      </c>
      <c r="G19" s="19">
        <v>2</v>
      </c>
      <c r="H19" s="19">
        <v>5</v>
      </c>
      <c r="I19" s="19">
        <v>4</v>
      </c>
    </row>
    <row r="20" spans="1:9" x14ac:dyDescent="0.3">
      <c r="A20" s="13" t="s">
        <v>51</v>
      </c>
      <c r="B20" s="13" t="s">
        <v>62</v>
      </c>
      <c r="C20" s="13">
        <v>10</v>
      </c>
      <c r="D20" s="13">
        <v>10</v>
      </c>
      <c r="E20" s="13">
        <v>10</v>
      </c>
      <c r="F20" s="13">
        <v>8</v>
      </c>
      <c r="G20" s="19">
        <v>0</v>
      </c>
      <c r="H20" s="19">
        <v>6</v>
      </c>
      <c r="I20" s="19">
        <v>0</v>
      </c>
    </row>
    <row r="21" spans="1:9" x14ac:dyDescent="0.3">
      <c r="A21" s="13" t="s">
        <v>57</v>
      </c>
      <c r="B21" s="13" t="s">
        <v>63</v>
      </c>
      <c r="C21" s="13">
        <v>8</v>
      </c>
      <c r="D21" s="13">
        <v>10</v>
      </c>
      <c r="E21" s="13">
        <v>10</v>
      </c>
      <c r="F21" s="13">
        <v>5</v>
      </c>
      <c r="G21" s="19">
        <v>0</v>
      </c>
      <c r="H21" s="19">
        <v>10</v>
      </c>
      <c r="I21" s="19">
        <v>0</v>
      </c>
    </row>
    <row r="22" spans="1:9" x14ac:dyDescent="0.3">
      <c r="A22" s="16" t="s">
        <v>83</v>
      </c>
      <c r="B22" s="16"/>
      <c r="C22" s="13">
        <f>SUM(C15:C21)</f>
        <v>54</v>
      </c>
      <c r="D22" s="13">
        <f t="shared" ref="D22:I22" si="1">SUM(D15:D21)</f>
        <v>62</v>
      </c>
      <c r="E22" s="13">
        <f t="shared" si="1"/>
        <v>70</v>
      </c>
      <c r="F22" s="13">
        <f t="shared" si="1"/>
        <v>41</v>
      </c>
      <c r="G22" s="19">
        <f t="shared" si="1"/>
        <v>11</v>
      </c>
      <c r="H22" s="19">
        <f t="shared" si="1"/>
        <v>46</v>
      </c>
      <c r="I22" s="19">
        <f t="shared" si="1"/>
        <v>16</v>
      </c>
    </row>
  </sheetData>
  <mergeCells count="7">
    <mergeCell ref="A22:B22"/>
    <mergeCell ref="C13:I13"/>
    <mergeCell ref="C1:I1"/>
    <mergeCell ref="A10:A11"/>
    <mergeCell ref="A1:B1"/>
    <mergeCell ref="A13:B13"/>
    <mergeCell ref="A8:B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Gen_Model_eval</vt:lpstr>
      <vt:lpstr>list_genmodels</vt:lpstr>
      <vt:lpstr>metrics_gen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Sheetal</dc:creator>
  <cp:lastModifiedBy>Sheetal Navin Mehta</cp:lastModifiedBy>
  <dcterms:created xsi:type="dcterms:W3CDTF">2015-06-05T18:17:20Z</dcterms:created>
  <dcterms:modified xsi:type="dcterms:W3CDTF">2024-08-02T12:42:22Z</dcterms:modified>
</cp:coreProperties>
</file>